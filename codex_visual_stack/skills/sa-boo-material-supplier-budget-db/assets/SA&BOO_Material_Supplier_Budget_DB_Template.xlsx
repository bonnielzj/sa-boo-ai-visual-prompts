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rice_History" sheetId="3" state="visible" r:id="rId3"/>
    <sheet xmlns:r="http://schemas.openxmlformats.org/officeDocument/2006/relationships" name="Project_Budget" sheetId="4" state="visible" r:id="rId4"/>
    <sheet xmlns:r="http://schemas.openxmlformats.org/officeDocument/2006/relationships" name="Procurement_Tracker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Substitution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Materials" displayName="tbl_Materials" ref="A1:X3" headerRowCount="1">
  <autoFilter ref="A1:X3"/>
  <tableColumns count="24">
    <tableColumn id="1" name="Material ID"/>
    <tableColumn id="2" name="Category"/>
    <tableColumn id="3" name="Subcategory"/>
    <tableColumn id="4" name="Brand"/>
    <tableColumn id="5" name="Product Name"/>
    <tableColumn id="6" name="Model / SKU"/>
    <tableColumn id="7" name="Color / Finish"/>
    <tableColumn id="8" name="Size / Spec"/>
    <tableColumn id="9" name="Unit"/>
    <tableColumn id="10" name="Unit Price Low"/>
    <tableColumn id="11" name="Unit Price High"/>
    <tableColumn id="12" name="Currency"/>
    <tableColumn id="13" name="Default Supplier ID"/>
    <tableColumn id="14" name="Lead Time Days"/>
    <tableColumn id="15" name="MOQ"/>
    <tableColumn id="16" name="Sample Available"/>
    <tableColumn id="17" name="Certification"/>
    <tableColumn id="18" name="Maintenance"/>
    <tableColumn id="19" name="Sustainability Notes"/>
    <tableColumn id="20" name="Image URL / File"/>
    <tableColumn id="21" name="Source URL"/>
    <tableColumn id="22" name="Status"/>
    <tableColumn id="23" name="Risk Notes"/>
    <tableColumn id="24" name="Last Verified"/>
  </tableColumns>
  <tableStyleInfo name="TableStyleMedium1" showRowStripes="1" showColumnStripes="0"/>
</table>
</file>

<file path=xl/tables/table2.xml><?xml version="1.0" encoding="utf-8"?>
<table xmlns="http://schemas.openxmlformats.org/spreadsheetml/2006/main" id="2" name="tbl_Suppliers" displayName="tbl_Suppliers" ref="A1:T3" headerRowCount="1">
  <autoFilter ref="A1:T3"/>
  <tableColumns count="20">
    <tableColumn id="1" name="Supplier ID"/>
    <tableColumn id="2" name="Supplier Name"/>
    <tableColumn id="3" name="Category"/>
    <tableColumn id="4" name="Contact Person"/>
    <tableColumn id="5" name="Phone / WeChat"/>
    <tableColumn id="6" name="Email"/>
    <tableColumn id="7" name="City / Region"/>
    <tableColumn id="8" name="Website / Shop"/>
    <tableColumn id="9" name="Price Level"/>
    <tableColumn id="10" name="Quality Score"/>
    <tableColumn id="11" name="Reliability Score"/>
    <tableColumn id="12" name="Service Score"/>
    <tableColumn id="13" name="Lead Time Score"/>
    <tableColumn id="14" name="Documentation Score"/>
    <tableColumn id="15" name="Overall Score"/>
    <tableColumn id="16" name="Payment Terms"/>
    <tableColumn id="17" name="Warranty / After-sales"/>
    <tableColumn id="18" name="Cooperation Notes"/>
    <tableColumn id="19" name="Status"/>
    <tableColumn id="20" name="Last Contact"/>
  </tableColumns>
  <tableStyleInfo name="TableStyleMedium1" showRowStripes="1" showColumnStripes="0"/>
</table>
</file>

<file path=xl/tables/table3.xml><?xml version="1.0" encoding="utf-8"?>
<table xmlns="http://schemas.openxmlformats.org/spreadsheetml/2006/main" id="3" name="tbl_Price_History" displayName="tbl_Price_History" ref="A1:L2" headerRowCount="1">
  <autoFilter ref="A1:L2"/>
  <tableColumns count="12">
    <tableColumn id="1" name="Price ID"/>
    <tableColumn id="2" name="Material ID"/>
    <tableColumn id="3" name="Supplier ID"/>
    <tableColumn id="4" name="Date"/>
    <tableColumn id="5" name="Unit Price"/>
    <tableColumn id="6" name="Currency"/>
    <tableColumn id="7" name="Tax Included"/>
    <tableColumn id="8" name="Freight Included"/>
    <tableColumn id="9" name="Install Included"/>
    <tableColumn id="10" name="Quote Valid Until"/>
    <tableColumn id="11" name="Source"/>
    <tableColumn id="12" name="Notes"/>
  </tableColumns>
  <tableStyleInfo name="TableStyleMedium1" showRowStripes="1" showColumnStripes="0"/>
</table>
</file>

<file path=xl/tables/table4.xml><?xml version="1.0" encoding="utf-8"?>
<table xmlns="http://schemas.openxmlformats.org/spreadsheetml/2006/main" id="4" name="tbl_Project_Budget" displayName="tbl_Project_Budget" ref="A1:AB2" headerRowCount="1">
  <autoFilter ref="A1:AB2"/>
  <tableColumns count="28">
    <tableColumn id="1" name="Line ID"/>
    <tableColumn id="2" name="Project"/>
    <tableColumn id="3" name="Area / Room"/>
    <tableColumn id="4" name="Package"/>
    <tableColumn id="5" name="Item"/>
    <tableColumn id="6" name="Material ID"/>
    <tableColumn id="7" name="Supplier ID"/>
    <tableColumn id="8" name="Spec"/>
    <tableColumn id="9" name="Quantity"/>
    <tableColumn id="10" name="Unit"/>
    <tableColumn id="11" name="Unit Price Estimate"/>
    <tableColumn id="12" name="Quote Unit Price"/>
    <tableColumn id="13" name="Approved Unit Price"/>
    <tableColumn id="14" name="Tax Rate"/>
    <tableColumn id="15" name="Freight"/>
    <tableColumn id="16" name="Install Cost"/>
    <tableColumn id="17" name="Contingency %"/>
    <tableColumn id="18" name="Estimated Total"/>
    <tableColumn id="19" name="Quoted Total"/>
    <tableColumn id="20" name="Approved Total"/>
    <tableColumn id="21" name="Target Budget"/>
    <tableColumn id="22" name="Variance"/>
    <tableColumn id="23" name="Variance %"/>
    <tableColumn id="24" name="Approval Status"/>
    <tableColumn id="25" name="Procurement Status"/>
    <tableColumn id="26" name="Required Date"/>
    <tableColumn id="27" name="Risk Level"/>
    <tableColumn id="28" name="Notes"/>
  </tableColumns>
  <tableStyleInfo name="TableStyleMedium1" showRowStripes="1" showColumnStripes="0"/>
</table>
</file>

<file path=xl/tables/table5.xml><?xml version="1.0" encoding="utf-8"?>
<table xmlns="http://schemas.openxmlformats.org/spreadsheetml/2006/main" id="5" name="tbl_Dashboard" displayName="tbl_Dashboard" ref="A1:C4" headerRowCount="1">
  <autoFilter ref="A1:C4"/>
  <tableColumns count="3">
    <tableColumn id="1" name="Metric"/>
    <tableColumn id="2" name="Value"/>
    <tableColumn id="3" name="Notes"/>
  </tableColumns>
  <tableStyleInfo name="TableStyleMedium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3" customWidth="1" min="6" max="6"/>
    <col width="16" customWidth="1" min="7" max="7"/>
    <col width="13" customWidth="1" min="8" max="8"/>
    <col width="12" customWidth="1" min="9" max="9"/>
    <col width="16" customWidth="1" min="10" max="10"/>
    <col width="17" customWidth="1" min="11" max="11"/>
    <col width="12" customWidth="1" min="12" max="12"/>
    <col width="21" customWidth="1" min="13" max="13"/>
    <col width="16" customWidth="1" min="14" max="14"/>
    <col width="12" customWidth="1" min="15" max="15"/>
    <col width="18" customWidth="1" min="16" max="16"/>
    <col width="15" customWidth="1" min="17" max="17"/>
    <col width="13" customWidth="1" min="18" max="18"/>
    <col width="22" customWidth="1" min="19" max="19"/>
    <col width="18" customWidth="1" min="20" max="20"/>
    <col width="12" customWidth="1" min="21" max="21"/>
    <col width="12" customWidth="1" min="22" max="22"/>
    <col width="12" customWidth="1" min="23" max="23"/>
    <col width="15" customWidth="1" min="24" max="24"/>
  </cols>
  <sheetData>
    <row r="1">
      <c r="A1" s="1" t="inlineStr">
        <is>
          <t>Material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 Name</t>
        </is>
      </c>
      <c r="F1" s="1" t="inlineStr">
        <is>
          <t>Model / SKU</t>
        </is>
      </c>
      <c r="G1" s="1" t="inlineStr">
        <is>
          <t>Color / Finish</t>
        </is>
      </c>
      <c r="H1" s="1" t="inlineStr">
        <is>
          <t>Size / Spec</t>
        </is>
      </c>
      <c r="I1" s="1" t="inlineStr">
        <is>
          <t>Unit</t>
        </is>
      </c>
      <c r="J1" s="1" t="inlineStr">
        <is>
          <t>Unit Price Low</t>
        </is>
      </c>
      <c r="K1" s="1" t="inlineStr">
        <is>
          <t>Unit Price High</t>
        </is>
      </c>
      <c r="L1" s="1" t="inlineStr">
        <is>
          <t>Currency</t>
        </is>
      </c>
      <c r="M1" s="1" t="inlineStr">
        <is>
          <t>Default Supplier ID</t>
        </is>
      </c>
      <c r="N1" s="1" t="inlineStr">
        <is>
          <t>Lead Time Days</t>
        </is>
      </c>
      <c r="O1" s="1" t="inlineStr">
        <is>
          <t>MOQ</t>
        </is>
      </c>
      <c r="P1" s="1" t="inlineStr">
        <is>
          <t>Sample Available</t>
        </is>
      </c>
      <c r="Q1" s="1" t="inlineStr">
        <is>
          <t>Certification</t>
        </is>
      </c>
      <c r="R1" s="1" t="inlineStr">
        <is>
          <t>Maintenance</t>
        </is>
      </c>
      <c r="S1" s="1" t="inlineStr">
        <is>
          <t>Sustainability Notes</t>
        </is>
      </c>
      <c r="T1" s="1" t="inlineStr">
        <is>
          <t>Image URL / File</t>
        </is>
      </c>
      <c r="U1" s="1" t="inlineStr">
        <is>
          <t>Source URL</t>
        </is>
      </c>
      <c r="V1" s="1" t="inlineStr">
        <is>
          <t>Status</t>
        </is>
      </c>
      <c r="W1" s="1" t="inlineStr">
        <is>
          <t>Risk Notes</t>
        </is>
      </c>
      <c r="X1" s="1" t="inlineStr">
        <is>
          <t>Last Verified</t>
        </is>
      </c>
    </row>
    <row r="2">
      <c r="A2" t="inlineStr">
        <is>
          <t>MAT-0001</t>
        </is>
      </c>
      <c r="B2" t="inlineStr">
        <is>
          <t>Wall Finish</t>
        </is>
      </c>
      <c r="C2" t="inlineStr">
        <is>
          <t>Art Paint</t>
        </is>
      </c>
      <c r="D2" t="inlineStr">
        <is>
          <t>Example Brand</t>
        </is>
      </c>
      <c r="E2" t="inlineStr">
        <is>
          <t>Warm Grey Limewash</t>
        </is>
      </c>
      <c r="F2" t="inlineStr">
        <is>
          <t>LW-01</t>
        </is>
      </c>
      <c r="G2" t="inlineStr">
        <is>
          <t>Warm grey matte</t>
        </is>
      </c>
      <c r="H2" t="inlineStr">
        <is>
          <t>Interior wall finish</t>
        </is>
      </c>
      <c r="I2" t="inlineStr">
        <is>
          <t>m2</t>
        </is>
      </c>
      <c r="J2" t="n">
        <v>180</v>
      </c>
      <c r="K2" t="n">
        <v>320</v>
      </c>
      <c r="L2" t="inlineStr">
        <is>
          <t>CNY</t>
        </is>
      </c>
      <c r="M2" t="inlineStr">
        <is>
          <t>SUP-0001</t>
        </is>
      </c>
      <c r="N2" t="n">
        <v>14</v>
      </c>
      <c r="O2" t="inlineStr">
        <is>
          <t>10m2</t>
        </is>
      </c>
      <c r="P2" t="inlineStr">
        <is>
          <t>Yes</t>
        </is>
      </c>
      <c r="Q2" t="inlineStr">
        <is>
          <t>VOC report needed</t>
        </is>
      </c>
      <c r="R2" t="inlineStr">
        <is>
          <t>Wipe gently, repair by area</t>
        </is>
      </c>
      <c r="S2" t="inlineStr">
        <is>
          <t>Low VOC only if certificate provided</t>
        </is>
      </c>
      <c r="T2" t="inlineStr"/>
      <c r="U2" t="inlineStr">
        <is>
          <t>https://example.com</t>
        </is>
      </c>
      <c r="V2" t="inlineStr">
        <is>
          <t>active</t>
        </is>
      </c>
      <c r="W2" t="inlineStr">
        <is>
          <t>color batch risk</t>
        </is>
      </c>
      <c r="X2" t="inlineStr">
        <is>
          <t>2026-06-22</t>
        </is>
      </c>
    </row>
    <row r="3">
      <c r="A3" t="inlineStr">
        <is>
          <t>MAT-0002</t>
        </is>
      </c>
      <c r="B3" t="inlineStr">
        <is>
          <t>Metal</t>
        </is>
      </c>
      <c r="C3" t="inlineStr">
        <is>
          <t>Stainless Steel</t>
        </is>
      </c>
      <c r="D3" t="inlineStr">
        <is>
          <t>Example Metal</t>
        </is>
      </c>
      <c r="E3" t="inlineStr">
        <is>
          <t>Brushed Champagne Metal</t>
        </is>
      </c>
      <c r="F3" t="inlineStr">
        <is>
          <t>SS-CH01</t>
        </is>
      </c>
      <c r="G3" t="inlineStr">
        <is>
          <t>Champagne brushed</t>
        </is>
      </c>
      <c r="H3" t="inlineStr">
        <is>
          <t>1.2mm sheet/custom trim</t>
        </is>
      </c>
      <c r="I3" t="inlineStr">
        <is>
          <t>m</t>
        </is>
      </c>
      <c r="J3" t="n">
        <v>260</v>
      </c>
      <c r="K3" t="n">
        <v>480</v>
      </c>
      <c r="L3" t="inlineStr">
        <is>
          <t>CNY</t>
        </is>
      </c>
      <c r="M3" t="inlineStr">
        <is>
          <t>SUP-0002</t>
        </is>
      </c>
      <c r="N3" t="n">
        <v>21</v>
      </c>
      <c r="O3" t="inlineStr">
        <is>
          <t>custom</t>
        </is>
      </c>
      <c r="P3" t="inlineStr">
        <is>
          <t>No</t>
        </is>
      </c>
      <c r="Q3" t="inlineStr">
        <is>
          <t>fire rating if required</t>
        </is>
      </c>
      <c r="R3" t="inlineStr">
        <is>
          <t>avoid acidic cleaners</t>
        </is>
      </c>
      <c r="S3" t="inlineStr">
        <is>
          <t>durable, recyclable claim requires proof</t>
        </is>
      </c>
      <c r="T3" t="inlineStr"/>
      <c r="U3" t="inlineStr">
        <is>
          <t>https://example.com</t>
        </is>
      </c>
      <c r="V3" t="inlineStr">
        <is>
          <t>watch</t>
        </is>
      </c>
      <c r="W3" t="inlineStr">
        <is>
          <t>scratch/lead-time risk</t>
        </is>
      </c>
      <c r="X3" t="inlineStr">
        <is>
          <t>2026-06-22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  <col width="16" customWidth="1" min="5" max="5"/>
    <col width="12" customWidth="1" min="6" max="6"/>
    <col width="15" customWidth="1" min="7" max="7"/>
    <col width="16" customWidth="1" min="8" max="8"/>
    <col width="13" customWidth="1" min="9" max="9"/>
    <col width="15" customWidth="1" min="10" max="10"/>
    <col width="19" customWidth="1" min="11" max="11"/>
    <col width="15" customWidth="1" min="12" max="12"/>
    <col width="17" customWidth="1" min="13" max="13"/>
    <col width="21" customWidth="1" min="14" max="14"/>
    <col width="15" customWidth="1" min="15" max="15"/>
    <col width="15" customWidth="1" min="16" max="16"/>
    <col width="24" customWidth="1" min="17" max="17"/>
    <col width="19" customWidth="1" min="18" max="18"/>
    <col width="12" customWidth="1" min="19" max="19"/>
    <col width="14" customWidth="1" min="20" max="20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Category</t>
        </is>
      </c>
      <c r="D1" s="1" t="inlineStr">
        <is>
          <t>Contact Person</t>
        </is>
      </c>
      <c r="E1" s="1" t="inlineStr">
        <is>
          <t>Phone / WeChat</t>
        </is>
      </c>
      <c r="F1" s="1" t="inlineStr">
        <is>
          <t>Email</t>
        </is>
      </c>
      <c r="G1" s="1" t="inlineStr">
        <is>
          <t>City / Region</t>
        </is>
      </c>
      <c r="H1" s="1" t="inlineStr">
        <is>
          <t>Website / Shop</t>
        </is>
      </c>
      <c r="I1" s="1" t="inlineStr">
        <is>
          <t>Price Level</t>
        </is>
      </c>
      <c r="J1" s="1" t="inlineStr">
        <is>
          <t>Quality Score</t>
        </is>
      </c>
      <c r="K1" s="1" t="inlineStr">
        <is>
          <t>Reliability Score</t>
        </is>
      </c>
      <c r="L1" s="1" t="inlineStr">
        <is>
          <t>Service Score</t>
        </is>
      </c>
      <c r="M1" s="1" t="inlineStr">
        <is>
          <t>Lead Time Score</t>
        </is>
      </c>
      <c r="N1" s="1" t="inlineStr">
        <is>
          <t>Documentation Score</t>
        </is>
      </c>
      <c r="O1" s="1" t="inlineStr">
        <is>
          <t>Overall Score</t>
        </is>
      </c>
      <c r="P1" s="1" t="inlineStr">
        <is>
          <t>Payment Terms</t>
        </is>
      </c>
      <c r="Q1" s="1" t="inlineStr">
        <is>
          <t>Warranty / After-sales</t>
        </is>
      </c>
      <c r="R1" s="1" t="inlineStr">
        <is>
          <t>Cooperation Notes</t>
        </is>
      </c>
      <c r="S1" s="1" t="inlineStr">
        <is>
          <t>Status</t>
        </is>
      </c>
      <c r="T1" s="1" t="inlineStr">
        <is>
          <t>Last Contact</t>
        </is>
      </c>
    </row>
    <row r="2">
      <c r="A2" t="inlineStr">
        <is>
          <t>SUP-0001</t>
        </is>
      </c>
      <c r="B2" t="inlineStr">
        <is>
          <t>Example Wall Finish Supplier</t>
        </is>
      </c>
      <c r="C2" t="inlineStr">
        <is>
          <t>wall finish</t>
        </is>
      </c>
      <c r="D2" t="inlineStr">
        <is>
          <t>Contact A</t>
        </is>
      </c>
      <c r="E2" t="inlineStr"/>
      <c r="F2" t="inlineStr"/>
      <c r="G2" t="inlineStr">
        <is>
          <t>Shanghai</t>
        </is>
      </c>
      <c r="H2" t="inlineStr">
        <is>
          <t>https://example.com</t>
        </is>
      </c>
      <c r="I2" t="inlineStr">
        <is>
          <t>mid</t>
        </is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>
        <f>J2*30%+K2*25%+L2*15%+M2*10%+N2*10%</f>
        <v/>
      </c>
      <c r="P2" t="inlineStr">
        <is>
          <t>50% deposit / 50% before delivery</t>
        </is>
      </c>
      <c r="Q2" t="inlineStr">
        <is>
          <t>1 year limited</t>
        </is>
      </c>
      <c r="R2" t="inlineStr">
        <is>
          <t>Good sample response</t>
        </is>
      </c>
      <c r="S2" t="inlineStr">
        <is>
          <t>trial</t>
        </is>
      </c>
      <c r="T2" t="inlineStr">
        <is>
          <t>2026-06-22</t>
        </is>
      </c>
    </row>
    <row r="3">
      <c r="A3" t="inlineStr">
        <is>
          <t>SUP-0002</t>
        </is>
      </c>
      <c r="B3" t="inlineStr">
        <is>
          <t>Example Metal Fabricator</t>
        </is>
      </c>
      <c r="C3" t="inlineStr">
        <is>
          <t>metal</t>
        </is>
      </c>
      <c r="D3" t="inlineStr">
        <is>
          <t>Contact B</t>
        </is>
      </c>
      <c r="E3" t="inlineStr"/>
      <c r="F3" t="inlineStr"/>
      <c r="G3" t="inlineStr">
        <is>
          <t>Suzhou</t>
        </is>
      </c>
      <c r="H3" t="inlineStr">
        <is>
          <t>https://example.com</t>
        </is>
      </c>
      <c r="I3" t="inlineStr">
        <is>
          <t>high</t>
        </is>
      </c>
      <c r="J3" t="n">
        <v>4</v>
      </c>
      <c r="K3" t="n">
        <v>3</v>
      </c>
      <c r="L3" t="n">
        <v>4</v>
      </c>
      <c r="M3" t="n">
        <v>3</v>
      </c>
      <c r="N3" t="n">
        <v>3</v>
      </c>
      <c r="O3">
        <f>J3*30%+K3*25%+L3*15%+M3*10%+N3*10%</f>
        <v/>
      </c>
      <c r="P3" t="inlineStr">
        <is>
          <t>custom quotation</t>
        </is>
      </c>
      <c r="Q3" t="inlineStr">
        <is>
          <t>case by case</t>
        </is>
      </c>
      <c r="R3" t="inlineStr">
        <is>
          <t>Needs drawing confirmation</t>
        </is>
      </c>
      <c r="S3" t="inlineStr">
        <is>
          <t>trial</t>
        </is>
      </c>
      <c r="T3" t="inlineStr">
        <is>
          <t>2026-06-22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Price ID</t>
        </is>
      </c>
      <c r="B1" s="1" t="inlineStr">
        <is>
          <t>Material ID</t>
        </is>
      </c>
      <c r="C1" s="1" t="inlineStr">
        <is>
          <t>Supplier ID</t>
        </is>
      </c>
      <c r="D1" s="1" t="inlineStr">
        <is>
          <t>Date</t>
        </is>
      </c>
      <c r="E1" s="1" t="inlineStr">
        <is>
          <t>Unit Price</t>
        </is>
      </c>
      <c r="F1" s="1" t="inlineStr">
        <is>
          <t>Currency</t>
        </is>
      </c>
      <c r="G1" s="1" t="inlineStr">
        <is>
          <t>Tax Included</t>
        </is>
      </c>
      <c r="H1" s="1" t="inlineStr">
        <is>
          <t>Freight Included</t>
        </is>
      </c>
      <c r="I1" s="1" t="inlineStr">
        <is>
          <t>Install Included</t>
        </is>
      </c>
      <c r="J1" s="1" t="inlineStr">
        <is>
          <t>Quote Valid Until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>
        <is>
          <t>PRICE-0001</t>
        </is>
      </c>
      <c r="B2" t="inlineStr">
        <is>
          <t>MAT-0001</t>
        </is>
      </c>
      <c r="C2" t="inlineStr">
        <is>
          <t>SUP-0001</t>
        </is>
      </c>
      <c r="D2" t="inlineStr">
        <is>
          <t>2026-06-22</t>
        </is>
      </c>
      <c r="E2" t="n">
        <v>220</v>
      </c>
      <c r="F2" t="inlineStr">
        <is>
          <t>CNY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sample quote</t>
        </is>
      </c>
      <c r="L2" t="inlineStr">
        <is>
          <t>verify before issue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8" customWidth="1" min="12" max="12"/>
    <col width="21" customWidth="1" min="13" max="13"/>
    <col width="12" customWidth="1" min="14" max="14"/>
    <col width="12" customWidth="1" min="15" max="15"/>
    <col width="14" customWidth="1" min="16" max="16"/>
    <col width="15" customWidth="1" min="17" max="17"/>
    <col width="17" customWidth="1" min="18" max="18"/>
    <col width="14" customWidth="1" min="19" max="19"/>
    <col width="16" customWidth="1" min="20" max="20"/>
    <col width="15" customWidth="1" min="21" max="21"/>
    <col width="12" customWidth="1" min="22" max="22"/>
    <col width="12" customWidth="1" min="23" max="23"/>
    <col width="17" customWidth="1" min="24" max="24"/>
    <col width="20" customWidth="1" min="25" max="25"/>
    <col width="15" customWidth="1" min="26" max="26"/>
    <col width="12" customWidth="1" min="27" max="27"/>
    <col width="12" customWidth="1" min="28" max="28"/>
  </cols>
  <sheetData>
    <row r="1">
      <c r="A1" s="1" t="inlineStr">
        <is>
          <t>Line ID</t>
        </is>
      </c>
      <c r="B1" s="1" t="inlineStr">
        <is>
          <t>Project</t>
        </is>
      </c>
      <c r="C1" s="1" t="inlineStr">
        <is>
          <t>Area / Room</t>
        </is>
      </c>
      <c r="D1" s="1" t="inlineStr">
        <is>
          <t>Package</t>
        </is>
      </c>
      <c r="E1" s="1" t="inlineStr">
        <is>
          <t>Item</t>
        </is>
      </c>
      <c r="F1" s="1" t="inlineStr">
        <is>
          <t>Material ID</t>
        </is>
      </c>
      <c r="G1" s="1" t="inlineStr">
        <is>
          <t>Supplier ID</t>
        </is>
      </c>
      <c r="H1" s="1" t="inlineStr">
        <is>
          <t>Spec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Unit Price Estimate</t>
        </is>
      </c>
      <c r="L1" s="1" t="inlineStr">
        <is>
          <t>Quote Unit Price</t>
        </is>
      </c>
      <c r="M1" s="1" t="inlineStr">
        <is>
          <t>Approved Unit Price</t>
        </is>
      </c>
      <c r="N1" s="1" t="inlineStr">
        <is>
          <t>Tax Rate</t>
        </is>
      </c>
      <c r="O1" s="1" t="inlineStr">
        <is>
          <t>Freight</t>
        </is>
      </c>
      <c r="P1" s="1" t="inlineStr">
        <is>
          <t>Install Cost</t>
        </is>
      </c>
      <c r="Q1" s="1" t="inlineStr">
        <is>
          <t>Contingency %</t>
        </is>
      </c>
      <c r="R1" s="1" t="inlineStr">
        <is>
          <t>Estimated Total</t>
        </is>
      </c>
      <c r="S1" s="1" t="inlineStr">
        <is>
          <t>Quoted Total</t>
        </is>
      </c>
      <c r="T1" s="1" t="inlineStr">
        <is>
          <t>Approved Total</t>
        </is>
      </c>
      <c r="U1" s="1" t="inlineStr">
        <is>
          <t>Target Budget</t>
        </is>
      </c>
      <c r="V1" s="1" t="inlineStr">
        <is>
          <t>Variance</t>
        </is>
      </c>
      <c r="W1" s="1" t="inlineStr">
        <is>
          <t>Variance %</t>
        </is>
      </c>
      <c r="X1" s="1" t="inlineStr">
        <is>
          <t>Approval Status</t>
        </is>
      </c>
      <c r="Y1" s="1" t="inlineStr">
        <is>
          <t>Procurement Status</t>
        </is>
      </c>
      <c r="Z1" s="1" t="inlineStr">
        <is>
          <t>Required Date</t>
        </is>
      </c>
      <c r="AA1" s="1" t="inlineStr">
        <is>
          <t>Risk Level</t>
        </is>
      </c>
      <c r="AB1" s="1" t="inlineStr">
        <is>
          <t>Notes</t>
        </is>
      </c>
    </row>
    <row r="2">
      <c r="A2" t="inlineStr">
        <is>
          <t>PB-0001</t>
        </is>
      </c>
      <c r="B2" t="inlineStr">
        <is>
          <t>Sample Project</t>
        </is>
      </c>
      <c r="C2" t="inlineStr">
        <is>
          <t>Living Room</t>
        </is>
      </c>
      <c r="D2" t="inlineStr">
        <is>
          <t>Wall Finish</t>
        </is>
      </c>
      <c r="E2" t="inlineStr">
        <is>
          <t>Feature wall art paint</t>
        </is>
      </c>
      <c r="F2" t="inlineStr">
        <is>
          <t>MAT-0001</t>
        </is>
      </c>
      <c r="G2" t="inlineStr">
        <is>
          <t>SUP-0001</t>
        </is>
      </c>
      <c r="H2" t="inlineStr">
        <is>
          <t>Warm grey matte</t>
        </is>
      </c>
      <c r="I2" t="n">
        <v>35</v>
      </c>
      <c r="J2" t="inlineStr">
        <is>
          <t>m2</t>
        </is>
      </c>
      <c r="K2" t="n">
        <v>220</v>
      </c>
      <c r="L2" t="n">
        <v>240</v>
      </c>
      <c r="M2" t="n">
        <v>240</v>
      </c>
      <c r="N2" t="n">
        <v>0.13</v>
      </c>
      <c r="O2" t="n">
        <v>300</v>
      </c>
      <c r="P2" t="n">
        <v>1200</v>
      </c>
      <c r="Q2" t="n">
        <v>0.08</v>
      </c>
      <c r="R2">
        <f>I2*K2+O2+P2+(I2*K2+O2+P2)*Q2+(I2*K2+O2+P2)*(1+Q2)*N2</f>
        <v/>
      </c>
      <c r="S2">
        <f>I2*L2+O2+P2+(I2*L2+O2+P2)*Q2+(I2*L2+O2+P2)*(1+Q2)*N2</f>
        <v/>
      </c>
      <c r="T2">
        <f>I2*M2+O2+P2+(I2*M2+O2+P2)*Q2+(I2*M2+O2+P2)*(1+Q2)*N2</f>
        <v/>
      </c>
      <c r="U2" t="n">
        <v>10000</v>
      </c>
      <c r="V2">
        <f>T2-U2</f>
        <v/>
      </c>
      <c r="W2">
        <f>IF(U2=0,0,V2/U2)</f>
        <v/>
      </c>
      <c r="X2" t="inlineStr">
        <is>
          <t>pending</t>
        </is>
      </c>
      <c r="Y2" t="inlineStr">
        <is>
          <t>quoted</t>
        </is>
      </c>
      <c r="Z2" t="inlineStr"/>
      <c r="AA2" t="inlineStr">
        <is>
          <t>medium</t>
        </is>
      </c>
      <c r="AB2" t="inlineStr">
        <is>
          <t>sample 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4" customWidth="1" min="7" max="7"/>
    <col width="14" customWidth="1" min="8" max="8"/>
    <col width="19" customWidth="1" min="9" max="9"/>
    <col width="17" customWidth="1" min="10" max="10"/>
    <col width="14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Procurement ID</t>
        </is>
      </c>
      <c r="B1" s="1" t="inlineStr">
        <is>
          <t>Project</t>
        </is>
      </c>
      <c r="C1" s="1" t="inlineStr">
        <is>
          <t>Line ID</t>
        </is>
      </c>
      <c r="D1" s="1" t="inlineStr">
        <is>
          <t>Supplier ID</t>
        </is>
      </c>
      <c r="E1" s="1" t="inlineStr">
        <is>
          <t>PO / Order No</t>
        </is>
      </c>
      <c r="F1" s="1" t="inlineStr">
        <is>
          <t>Order Date</t>
        </is>
      </c>
      <c r="G1" s="1" t="inlineStr">
        <is>
          <t>Deposit Paid</t>
        </is>
      </c>
      <c r="H1" s="1" t="inlineStr">
        <is>
          <t>Balance Paid</t>
        </is>
      </c>
      <c r="I1" s="1" t="inlineStr">
        <is>
          <t>Expected Delivery</t>
        </is>
      </c>
      <c r="J1" s="1" t="inlineStr">
        <is>
          <t>Actual Delivery</t>
        </is>
      </c>
      <c r="K1" s="1" t="inlineStr">
        <is>
          <t>Install Date</t>
        </is>
      </c>
      <c r="L1" s="1" t="inlineStr">
        <is>
          <t>Status</t>
        </is>
      </c>
      <c r="M1" s="1" t="inlineStr">
        <is>
          <t>Issue</t>
        </is>
      </c>
      <c r="N1" s="1" t="inlineStr">
        <is>
          <t>Next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Approval ID</t>
        </is>
      </c>
      <c r="B1" s="1" t="inlineStr">
        <is>
          <t>Project</t>
        </is>
      </c>
      <c r="C1" s="1" t="inlineStr">
        <is>
          <t>Line ID</t>
        </is>
      </c>
      <c r="D1" s="1" t="inlineStr">
        <is>
          <t>Decision</t>
        </is>
      </c>
      <c r="E1" s="1" t="inlineStr">
        <is>
          <t>Approved By</t>
        </is>
      </c>
      <c r="F1" s="1" t="inlineStr">
        <is>
          <t>Date</t>
        </is>
      </c>
      <c r="G1" s="1" t="inlineStr">
        <is>
          <t>Evidence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25" customWidth="1" min="4" max="4"/>
    <col width="12" customWidth="1" min="5" max="5"/>
    <col width="13" customWidth="1" min="6" max="6"/>
    <col width="22" customWidth="1" min="7" max="7"/>
    <col width="15" customWidth="1" min="8" max="8"/>
    <col width="17" customWidth="1" min="9" max="9"/>
    <col width="12" customWidth="1" min="10" max="10"/>
  </cols>
  <sheetData>
    <row r="1">
      <c r="A1" s="1" t="inlineStr">
        <is>
          <t>Substitution ID</t>
        </is>
      </c>
      <c r="B1" s="1" t="inlineStr">
        <is>
          <t>Project</t>
        </is>
      </c>
      <c r="C1" s="1" t="inlineStr">
        <is>
          <t>Original Material ID</t>
        </is>
      </c>
      <c r="D1" s="1" t="inlineStr">
        <is>
          <t>Replacement Material ID</t>
        </is>
      </c>
      <c r="E1" s="1" t="inlineStr">
        <is>
          <t>Reason</t>
        </is>
      </c>
      <c r="F1" s="1" t="inlineStr">
        <is>
          <t>Cost Impact</t>
        </is>
      </c>
      <c r="G1" s="1" t="inlineStr">
        <is>
          <t>Schedule Impact Days</t>
        </is>
      </c>
      <c r="H1" s="1" t="inlineStr">
        <is>
          <t>Design Impact</t>
        </is>
      </c>
      <c r="I1" s="1" t="inlineStr">
        <is>
          <t>Approval Status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Estimated</t>
        </is>
      </c>
      <c r="B2">
        <f>SUM(Project_Budget!R:R)</f>
        <v/>
      </c>
      <c r="C2" t="inlineStr">
        <is>
          <t>formula in XLSX</t>
        </is>
      </c>
    </row>
    <row r="3">
      <c r="A3" t="inlineStr">
        <is>
          <t>Total Quoted</t>
        </is>
      </c>
      <c r="B3">
        <f>SUM(Project_Budget!S:S)</f>
        <v/>
      </c>
      <c r="C3" t="inlineStr">
        <is>
          <t>formula in XLSX</t>
        </is>
      </c>
    </row>
    <row r="4">
      <c r="A4" t="inlineStr">
        <is>
          <t>Total Approved</t>
        </is>
      </c>
      <c r="B4">
        <f>SUM(Project_Budget!T:T)</f>
        <v/>
      </c>
      <c r="C4" t="inlineStr">
        <is>
          <t>formula in 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2026-06-22T14:35:55Z</dcterms:created>
  <dcterms:modified xmlns:dcterms="http://purl.org/dc/terms/" xmlns:xsi="http://www.w3.org/2001/XMLSchema-instance" xsi:type="dcterms:W3CDTF">2026-06-22T14:35:55Z</dcterms:modified>
</cp:coreProperties>
</file>